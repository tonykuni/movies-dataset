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dd2c065a7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88e34adf22423b"/>
    <x:sheet xmlns:r="http://schemas.openxmlformats.org/officeDocument/2006/relationships" name="AppendixA_Registry" sheetId="2" r:id="R57403e6f486c41e9"/>
    <x:sheet xmlns:r="http://schemas.openxmlformats.org/officeDocument/2006/relationships" name="GlobalPMI_Audit" sheetId="3" r:id="R577f21062fe04ef1"/>
    <x:sheet xmlns:r="http://schemas.openxmlformats.org/officeDocument/2006/relationships" name="VDF_v003_Tasks" sheetId="4" r:id="Ra471dfb2790c451d"/>
    <x:sheet xmlns:r="http://schemas.openxmlformats.org/officeDocument/2006/relationships" name="Source_Index" sheetId="5" r:id="R64bb6c88a147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F2933"/>
      <x:name val="Carlito"/>
    </x:font>
    <x:font>
      <x:i/>
      <x:sz val="11"/>
      <x:color rgb="FF6B7C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ECE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7eaa71dbd4c67" /><Relationship Type="http://schemas.openxmlformats.org/officeDocument/2006/relationships/theme" Target="/xl/theme/theme1.xml" Id="R61512461bf564239" /><Relationship Type="http://schemas.openxmlformats.org/officeDocument/2006/relationships/sharedStrings" Target="/xl/sharedStrings.xml" Id="Rea5dab009d1e414c" /><Relationship Type="http://schemas.openxmlformats.org/officeDocument/2006/relationships/worksheet" Target="/xl/worksheets/sheet1.xml" Id="R7488e34adf22423b" /><Relationship Type="http://schemas.openxmlformats.org/officeDocument/2006/relationships/worksheet" Target="/xl/worksheets/sheet2.xml" Id="R57403e6f486c41e9" /><Relationship Type="http://schemas.openxmlformats.org/officeDocument/2006/relationships/worksheet" Target="/xl/worksheets/sheet3.xml" Id="R577f21062fe04ef1" /><Relationship Type="http://schemas.openxmlformats.org/officeDocument/2006/relationships/worksheet" Target="/xl/worksheets/sheet4.xml" Id="Ra471dfb2790c451d" /><Relationship Type="http://schemas.openxmlformats.org/officeDocument/2006/relationships/worksheet" Target="/xl/worksheets/sheet5.xml" Id="R64bb6c88a1474d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6ed6341ad4d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Validation Status Summary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'Dashboard'!$A$5:$A$10</c:f>
              <c:strCache>
                <c:ptCount val="0"/>
              </c:strCache>
            </c:strRef>
          </c:cat>
          <c:val>
            <c:numRef>
              <c:f>'Dashboard'!$B$5:$B$10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6ed6341ad4d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endixARegistryTable" displayName="AppendixARegistryTable" ref="A1:P26" headerRowCount="1">
  <x:tableColumns count="16">
    <x:tableColumn id="1" name="registry_id"/>
    <x:tableColumn id="2" name="claim_group"/>
    <x:tableColumn id="3" name="claim"/>
    <x:tableColumn id="4" name="date"/>
    <x:tableColumn id="5" name="user_value"/>
    <x:tableColumn id="6" name="verified_value"/>
    <x:tableColumn id="7" name="status"/>
    <x:tableColumn id="8" name="confidence_pct"/>
    <x:tableColumn id="9" name="source_type"/>
    <x:tableColumn id="10" name="source_name"/>
    <x:tableColumn id="11" name="source_url"/>
    <x:tableColumn id="12" name="correction"/>
    <x:tableColumn id="13" name="vdf_endpoint"/>
    <x:tableColumn id="14" name="action"/>
    <x:tableColumn id="15" name="report_usag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GlobalPMIAuditTable" displayName="GlobalPMIAuditTable" ref="A1:G9" headerRowCount="1">
  <x:tableColumns count="7">
    <x:tableColumn id="1" name="region"/>
    <x:tableColumn id="2" name="indicator"/>
    <x:tableColumn id="3" name="user_value"/>
    <x:tableColumn id="4" name="verified_value"/>
    <x:tableColumn id="5" name="verdict"/>
    <x:tableColumn id="6" name="note"/>
    <x:tableColumn id="7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VDFv003TasksTable" displayName="VDFv003TasksTable" ref="A1:E7" headerRowCount="1">
  <x:tableColumns count="5">
    <x:tableColumn id="1" name="priority"/>
    <x:tableColumn id="2" name="task"/>
    <x:tableColumn id="3" name="detail"/>
    <x:tableColumn id="4" name="owner"/>
    <x:tableColumn id="5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ourceIndexTable" displayName="SourceIndexTable" ref="A1:C24" headerRowCount="1">
  <x:tableColumns count="3">
    <x:tableColumn id="1" name="source_name"/>
    <x:tableColumn id="2" name="source_url"/>
    <x:tableColumn id="3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b94bd6de2443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35e3a3b46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68cedfc24249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8e64f5245942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98961302fe4b2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22" hidden="0" customWidth="1"/>
    <x:col min="5" max="5" width="28" hidden="0" customWidth="1"/>
    <x:col min="6" max="6" width="40" hidden="0" customWidth="1"/>
    <x:col min="7" max="7" width="24" hidden="0" customWidth="1"/>
    <x:col min="8" max="8" width="20" hidden="0" customWidth="1"/>
  </x:cols>
  <x:sheetData>
    <x:row r="1" ht="15" hidden="0" customHeight="1">
      <x:c r="A1" s="16" t="str">
        <x:v>VIA Appendix A Data Validation Registry v001</x:v>
      </x:c>
      <x:c r="B1" s="16"/>
      <x:c r="C1" s="16"/>
      <x:c r="D1" s="16"/>
      <x:c r="E1" s="16"/>
      <x:c r="F1" s="16"/>
      <x:c r="G1" s="16"/>
      <x:c r="H1" s="16"/>
    </x:row>
    <x:row r="2" ht="15" hidden="0" customHeight="1">
      <x:c r="A2" s="20" t="str">
        <x:v>Generated 2026-07-05 · Purpose: separate verified facts, corrections, pending official series, and rejected/demo data.</x:v>
      </x:c>
      <x:c r="B2" s="20"/>
      <x:c r="C2" s="20"/>
      <x:c r="D2" s="20"/>
      <x:c r="E2" s="20"/>
      <x:c r="F2" s="20"/>
      <x:c r="G2" s="20"/>
      <x:c r="H2" s="20"/>
    </x:row>
    <x:row r="3" ht="15" hidden="0" customHeight="1">
      <x:c r="A3" s="12"/>
      <x:c r="B3" s="12"/>
      <x:c r="C3" s="12"/>
      <x:c r="D3" s="12"/>
      <x:c r="E3" s="12"/>
      <x:c r="F3" s="12"/>
      <x:c r="G3" s="12"/>
      <x:c r="H3" s="12"/>
    </x:row>
    <x:row r="4" ht="15" hidden="0" customHeight="1">
      <x:c r="A4" s="6" t="str">
        <x:v>Metric</x:v>
      </x:c>
      <x:c r="B4" s="6" t="str">
        <x:v>Value</x:v>
      </x:c>
      <x:c r="C4" s="12"/>
      <x:c r="D4" s="6" t="str">
        <x:v>Decision Area</x:v>
      </x:c>
      <x:c r="E4" s="6" t="str">
        <x:v>Current Decision</x:v>
      </x:c>
      <x:c r="F4" s="6" t="str">
        <x:v>Evidence</x:v>
      </x:c>
      <x:c r="G4" s="6" t="str">
        <x:v>Action</x:v>
      </x:c>
      <x:c r="H4" s="6" t="str">
        <x:v>Owner</x:v>
      </x:c>
    </x:row>
    <x:row r="5" ht="15" hidden="0" customHeight="1">
      <x:c r="A5" s="12" t="str">
        <x:v>Total claims</x:v>
      </x:c>
      <x:c r="B5" s="12" t="n">
        <x:v>25</x:v>
      </x:c>
      <x:c r="C5" s="12"/>
      <x:c r="D5" s="12" t="str">
        <x:v>Appendix A events</x:v>
      </x:c>
      <x:c r="E5" s="12" t="str">
        <x:v>Mostly usable after corrections</x:v>
      </x:c>
      <x:c r="F5" s="12" t="str">
        <x:v>Micron / Taiwan / BLS / Fed verified</x:v>
      </x:c>
      <x:c r="G5" s="12" t="str">
        <x:v>Use registry corrections</x:v>
      </x:c>
      <x:c r="H5" s="12" t="str">
        <x:v>VIA Report</x:v>
      </x:c>
    </x:row>
    <x:row r="6" ht="15" hidden="0" customHeight="1">
      <x:c r="A6" s="12" t="str">
        <x:v>Verified rows</x:v>
      </x:c>
      <x:c r="B6" s="12" t="n">
        <x:f>COUNTIF(AppendixA_Registry!G:G,"Verified")+COUNTIF(AppendixA_Registry!G:G,"Verified - Price Needs Market Source")+COUNTIF(AppendixA_Registry!G:G,"Verified - Official Series Needed")+COUNTIF(AppendixA_Registry!G:G,"Verified - Table Pull Needed")</x:f>
        <x:v>8</x:v>
      </x:c>
      <x:c r="C6" s="12"/>
      <x:c r="D6" s="12" t="str">
        <x:v>Taiwan market data</x:v>
      </x:c>
      <x:c r="E6" s="12" t="str">
        <x:v>Narrative usable; model not ready</x:v>
      </x:c>
      <x:c r="F6" s="12" t="str">
        <x:v>v002 official fetch 0 rows</x:v>
      </x:c>
      <x:c r="G6" s="12" t="str">
        <x:v>VDF v003 raw audit</x:v>
      </x:c>
      <x:c r="H6" s="12" t="str">
        <x:v>VDF</x:v>
      </x:c>
    </x:row>
    <x:row r="7" ht="15" hidden="0" customHeight="1">
      <x:c r="A7" s="12" t="str">
        <x:v>Corrected rows</x:v>
      </x:c>
      <x:c r="B7" s="12" t="n">
        <x:f>COUNTIF(AppendixA_Registry!G:G,"Corrected")+COUNTIF(AppendixA_Registry!G:G,"Correct / Pending Official")+COUNTIF(AppendixA_Registry!G:G,"Corrected / Split Required")+COUNTIF(AppendixA_Registry!G:G,"Corrected / Exact Value Pending")</x:f>
        <x:v>6</x:v>
      </x:c>
      <x:c r="C7" s="12"/>
      <x:c r="D7" s="12" t="str">
        <x:v>Global PMI dashboard</x:v>
      </x:c>
      <x:c r="E7" s="12" t="str">
        <x:v>Do not use current numbers</x:v>
      </x:c>
      <x:c r="F7" s="12" t="str">
        <x:v>US/EU/TW/Japan mismatched</x:v>
      </x:c>
      <x:c r="G7" s="12" t="str">
        <x:v>Rebuild PMI data</x:v>
      </x:c>
      <x:c r="H7" s="12" t="str">
        <x:v>Global Macro</x:v>
      </x:c>
    </x:row>
    <x:row r="8" ht="15" hidden="0" customHeight="1">
      <x:c r="A8" s="12" t="str">
        <x:v>Pending rows</x:v>
      </x:c>
      <x:c r="B8" s="12" t="n">
        <x:f>COUNTIF(AppendixA_Registry!G:G,"Pending")+COUNTIF(AppendixA_Registry!G:G,"Pending Official Series")+COUNTIF(AppendixA_Registry!G:G,"Media Verified / Official Pending")+COUNTIF(AppendixA_Registry!G:G,"Pending Definition")+COUNTIF(AppendixA_Registry!G:G,"Pending Latest Release")+COUNTIF(AppendixA_Registry!G:G,"Pending Definition / Likely Replace")</x:f>
        <x:v>6</x:v>
      </x:c>
      <x:c r="C8" s="12"/>
      <x:c r="D8" s="12" t="str">
        <x:v>FOMO score</x:v>
      </x:c>
      <x:c r="E8" s="12" t="str">
        <x:v>Candidate only</x:v>
      </x:c>
      <x:c r="F8" s="12" t="str">
        <x:v>v002 DQ ~60; only breadth factor works</x:v>
      </x:c>
      <x:c r="G8" s="12" t="str">
        <x:v>No formal signal yet</x:v>
      </x:c>
      <x:c r="H8" s="12" t="str">
        <x:v>TTFI</x:v>
      </x:c>
    </x:row>
    <x:row r="9" ht="15" hidden="0" customHeight="1">
      <x:c r="A9" s="12" t="str">
        <x:v>Reject / rebuild rows</x:v>
      </x:c>
      <x:c r="B9" s="12" t="n">
        <x:f>COUNTIF(AppendixA_Registry!G:G,"Reject / Replace")+COUNTIF(AppendixA_Registry!G:G,"Reject / Rebuild")</x:f>
        <x:v>5</x:v>
      </x:c>
      <x:c r="C9" s="12"/>
      <x:c r="D9" s="12" t="str">
        <x:v>Labor distortion</x:v>
      </x:c>
      <x:c r="E9" s="12" t="str">
        <x:v>Strong evidence</x:v>
      </x:c>
      <x:c r="F9" s="12" t="str">
        <x:v>BLS + Reuters</x:v>
      </x:c>
      <x:c r="G9" s="12" t="str">
        <x:v>Build BLS extraction table</x:v>
      </x:c>
      <x:c r="H9" s="12" t="str">
        <x:v>US Macro</x:v>
      </x:c>
    </x:row>
    <x:row r="10" ht="15" hidden="0" customHeight="1">
      <x:c r="A10" s="12" t="str">
        <x:v>Average confidence</x:v>
      </x:c>
      <x:c r="B10" s="12" t="n">
        <x:f>AVERAGE(AppendixA_Registry!H:H)</x:f>
        <x:v>80.4</x:v>
      </x:c>
      <x:c r="C10" s="12"/>
      <x:c r="D10" s="12" t="str">
        <x:v>Fed chain</x:v>
      </x:c>
      <x:c r="E10" s="12" t="str">
        <x:v>Rewrite to higher-for-longer / hike risk</x:v>
      </x:c>
      <x:c r="F10" s="12" t="str">
        <x:v>Fed + Reuters</x:v>
      </x:c>
      <x:c r="G10" s="12" t="str">
        <x:v>Split rate / SEP / yields</x:v>
      </x:c>
      <x:c r="H10" s="12" t="str">
        <x:v>Macro</x:v>
      </x:c>
    </x:row>
    <x:row r="11" ht="15" hidden="0" customHeight="1">
      <x:c r="A11" s="12" t="str">
        <x:v>Must not use in final report</x:v>
      </x:c>
      <x:c r="B11" s="12" t="n">
        <x:f>COUNTIF(AppendixA_Registry!N:N,"不可直接用")+COUNTIF(AppendixA_Registry!N:N,"不可正式使用")+COUNTIF(AppendixA_Registry!N:N,"原表不可用")</x:f>
        <x:v>0</x:v>
      </x:c>
      <x:c r="C11" s="12"/>
      <x:c r="D11" s="12" t="str">
        <x:v>Next step</x:v>
      </x:c>
      <x:c r="E11" s="12" t="str">
        <x:v>v003 hygiene first</x:v>
      </x:c>
      <x:c r="F11" s="12" t="str">
        <x:v>self-ingestion risk exists</x:v>
      </x:c>
      <x:c r="G11" s="12" t="str">
        <x:v>No new factors until data passes</x:v>
      </x:c>
      <x:c r="H11" s="12" t="str">
        <x:v>System Manager</x:v>
      </x:c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15" hidden="0" customHeight="1">
      <x:c r="A13" s="12"/>
      <x:c r="B13" s="12"/>
      <x:c r="C13" s="12"/>
      <x:c r="D13" s="12"/>
      <x:c r="E13" s="12"/>
      <x:c r="F13" s="12"/>
      <x:c r="G13" s="12"/>
      <x:c r="H13" s="12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9b94bd6de24432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4" hidden="0" customWidth="1"/>
    <x:col min="5" max="5" width="26" hidden="0" customWidth="1"/>
    <x:col min="6" max="6" width="42" hidden="0" customWidth="1"/>
    <x:col min="7" max="7" width="24" hidden="0" customWidth="1"/>
    <x:col min="8" max="8" width="12" hidden="0" customWidth="1"/>
    <x:col min="9" max="9" width="18" hidden="0" customWidth="1"/>
    <x:col min="10" max="10" width="22" hidden="0" customWidth="1"/>
    <x:col min="11" max="11" width="42" hidden="0" customWidth="1"/>
    <x:col min="12" max="12" width="36" hidden="0" customWidth="1"/>
    <x:col min="13" max="13" width="26" hidden="0" customWidth="1"/>
    <x:col min="14" max="14" width="26" hidden="0" customWidth="1"/>
    <x:col min="15" max="15" width="26" hidden="0" customWidth="1"/>
    <x:col min="16" max="16" width="36" hidden="0" customWidth="1"/>
  </x:cols>
  <x:sheetData>
    <x:row r="1" ht="15" hidden="0" customHeight="1">
      <x:c r="A1" s="6" t="str">
        <x:v>registry_id</x:v>
      </x:c>
      <x:c r="B1" s="6" t="str">
        <x:v>claim_group</x:v>
      </x:c>
      <x:c r="C1" s="6" t="str">
        <x:v>claim</x:v>
      </x:c>
      <x:c r="D1" s="6" t="str">
        <x:v>date</x:v>
      </x:c>
      <x:c r="E1" s="6" t="str">
        <x:v>user_value</x:v>
      </x:c>
      <x:c r="F1" s="6" t="str">
        <x:v>verified_value</x:v>
      </x:c>
      <x:c r="G1" s="6" t="str">
        <x:v>status</x:v>
      </x:c>
      <x:c r="H1" s="6" t="str">
        <x:v>confidence_pct</x:v>
      </x:c>
      <x:c r="I1" s="6" t="str">
        <x:v>source_type</x:v>
      </x:c>
      <x:c r="J1" s="6" t="str">
        <x:v>source_name</x:v>
      </x:c>
      <x:c r="K1" s="6" t="str">
        <x:v>source_url</x:v>
      </x:c>
      <x:c r="L1" s="6" t="str">
        <x:v>correction</x:v>
      </x:c>
      <x:c r="M1" s="6" t="str">
        <x:v>vdf_endpoint</x:v>
      </x:c>
      <x:c r="N1" s="6" t="str">
        <x:v>action</x:v>
      </x:c>
      <x:c r="O1" s="6" t="str">
        <x:v>report_usage</x:v>
      </x:c>
      <x:c r="P1" s="6" t="str">
        <x:v>notes</x:v>
      </x:c>
    </x:row>
    <x:row r="2" ht="15" hidden="0" customHeight="1">
      <x:c r="A2" s="12" t="str">
        <x:v>A001</x:v>
      </x:c>
      <x:c r="B2" s="12" t="str">
        <x:v>Micron / Memory</x:v>
      </x:c>
      <x:c r="C2" s="12" t="str">
        <x:v>美光 2026-06-23 大跌約 13.3%、收約 $1,051.77；南韓 FSS 槓桿 ETF 警告觸發記憶體股賣壓。</x:v>
      </x:c>
      <x:c r="D2" s="12" t="str">
        <x:v>2026-06-23</x:v>
      </x:c>
      <x:c r="E2" s="12" t="str">
        <x:v>−13.3%; close $1,051.77; FSS leveraged ETF warning</x:v>
      </x:c>
      <x:c r="F2" s="12" t="str">
        <x:v>可保留；Forbes 確認跌逾 13%、FSS 警告與 memory ETF / Samsung / SK Hynix 相關。</x:v>
      </x:c>
      <x:c r="G2" s="12" t="str">
        <x:v>Verified</x:v>
      </x:c>
      <x:c r="H2" s="12" t="n">
        <x:v>90</x:v>
      </x:c>
      <x:c r="I2" s="12" t="str">
        <x:v>Media / Market</x:v>
      </x:c>
      <x:c r="J2" s="12" t="str">
        <x:v>Forbes</x:v>
      </x:c>
      <x:c r="K2" s="12" t="str">
        <x:v>https://www.forbes.com/sites/antoniopequenoiv/2026/06/23/micron-tumbles-13-as-south-korean-etf-warning-fuels-chip-sell-off/</x:v>
      </x:c>
      <x:c r="L2" s="12" t="str">
        <x:v>用「約」或「reported」保守表述；收盤價需以價格資料庫最終驗證。</x:v>
      </x:c>
      <x:c r="M2" s="12" t="str">
        <x:v>yfinance / market_price_history</x:v>
      </x:c>
      <x:c r="N2" s="12" t="str">
        <x:v>Keep with source</x:v>
      </x:c>
      <x:c r="O2" s="12" t="str">
        <x:v>可放入附錄與故事正文</x:v>
      </x:c>
      <x:c r="P2" s="12" t="str">
        <x:v>南韓 FSS 警告不是唯一原因，應寫成觸發 / fuel sell-off。</x:v>
      </x:c>
    </x:row>
    <x:row r="3" ht="15" hidden="0" customHeight="1">
      <x:c r="A3" s="12" t="str">
        <x:v>A002</x:v>
      </x:c>
      <x:c r="B3" s="12" t="str">
        <x:v>Micron / Earnings</x:v>
      </x:c>
      <x:c r="C3" s="12" t="str">
        <x:v>美光 2026-06-24 盤後財報，FY3Q26 營收 $41.46B；6/25 大漲 15.7% 收 $1,213.56。</x:v>
      </x:c>
      <x:c r="D3" s="12" t="str">
        <x:v>2026-06-24 / 2026-06-25</x:v>
      </x:c>
      <x:c r="E3" s="12" t="str">
        <x:v>6/25 +15.7%; close $1,213.56; revenue $41.46B</x:v>
      </x:c>
      <x:c r="F3" s="12" t="str">
        <x:v>Micron IR 確認 FY3Q26 revenue $41.46B vs $9.30B prior year；股價漲幅/收盤價需價格源二次核對。</x:v>
      </x:c>
      <x:c r="G3" s="12" t="str">
        <x:v>Verified - Price Needs Market Source</x:v>
      </x:c>
      <x:c r="H3" s="12" t="n">
        <x:v>85</x:v>
      </x:c>
      <x:c r="I3" s="12" t="str">
        <x:v>Company IR / Market</x:v>
      </x:c>
      <x:c r="J3" s="12" t="str">
        <x:v>Micron Investor Relations</x:v>
      </x:c>
      <x:c r="K3" s="12" t="str">
        <x:v>https://investors.micron.com/news-releases/news-release-details/micron-technology-inc-reports-record-results-third-quarter</x:v>
      </x:c>
      <x:c r="L3" s="12" t="str">
        <x:v>「小反彈」改為「大幅反彈 / post-earnings surge」。</x:v>
      </x:c>
      <x:c r="M3" s="12" t="str">
        <x:v>company_ir + yfinance</x:v>
      </x:c>
      <x:c r="N3" s="12" t="str">
        <x:v>Keep but add price verification</x:v>
      </x:c>
      <x:c r="O3" s="12" t="str">
        <x:v>可放入故事正文；股價數字加註待 VDF 價格確認</x:v>
      </x:c>
      <x:c r="P3" s="12" t="str">
        <x:v>財報日是 6/24 盤後，不要寫成 6/24 盤中。</x:v>
      </x:c>
    </x:row>
    <x:row r="4" ht="15" hidden="0" customHeight="1">
      <x:c r="A4" s="12" t="str">
        <x:v>A003</x:v>
      </x:c>
      <x:c r="B4" s="12" t="str">
        <x:v>Micron / Post-earnings</x:v>
      </x:c>
      <x:c r="C4" s="12" t="str">
        <x:v>美光財報後 8 日由 $1,213.56 跌約 19.6% 至 ~$975；Burry 空單。</x:v>
      </x:c>
      <x:c r="D4" s="12" t="str">
        <x:v>2026-06-25 ~ 2026-07-04</x:v>
      </x:c>
      <x:c r="E4" s="12" t="str">
        <x:v>8 days −19.6% to ~$975; Burry short</x:v>
      </x:c>
      <x:c r="F4" s="12" t="str">
        <x:v>方向可列為待查；Burry 空單需標為 reports / 據報導。</x:v>
      </x:c>
      <x:c r="G4" s="12" t="str">
        <x:v>Pending</x:v>
      </x:c>
      <x:c r="H4" s="12" t="n">
        <x:v>55</x:v>
      </x:c>
      <x:c r="I4" s="12" t="str">
        <x:v>Market / Reports</x:v>
      </x:c>
      <x:c r="J4" s="12" t="str">
        <x:v>Price series + reported short interest</x:v>
      </x:c>
      <x:c r="K4" s="12" t="str">
        <x:v>https://finance.yahoo.com/quote/MU/</x:v>
      </x:c>
      <x:c r="L4" s="12" t="str">
        <x:v>不可寫成官方事實；需用價格序列與 13F / options disclosure 驗證。</x:v>
      </x:c>
      <x:c r="M4" s="12" t="str">
        <x:v>yfinance + SEC/13F if applicable</x:v>
      </x:c>
      <x:c r="N4" s="12" t="str">
        <x:v>Fetch price series and verify</x:v>
      </x:c>
      <x:c r="O4" s="12" t="str">
        <x:v>暫列附錄待查，不進主敘事硬結論</x:v>
      </x:c>
      <x:c r="P4" s="12" t="str">
        <x:v>若非 13F 更新期，Burry 持倉多半只能用媒體報導。</x:v>
      </x:c>
    </x:row>
    <x:row r="5" ht="15" hidden="0" customHeight="1">
      <x:c r="A5" s="12" t="str">
        <x:v>A004</x:v>
      </x:c>
      <x:c r="B5" s="12" t="str">
        <x:v>Taiwan Equity</x:v>
      </x:c>
      <x:c r="C5" s="12" t="str">
        <x:v>台股 2026-06-23 盤中 48,218.87 新高。</x:v>
      </x:c>
      <x:c r="D5" s="12" t="str">
        <x:v>2026-06-23</x:v>
      </x:c>
      <x:c r="E5" s="12" t="str">
        <x:v>TAIEX intraday 48,218.87</x:v>
      </x:c>
      <x:c r="F5" s="12" t="str">
        <x:v>媒體盤勢資料可用；仍建議 TWSE 指數日內/歷史資料作 final source。</x:v>
      </x:c>
      <x:c r="G5" s="12" t="str">
        <x:v>Verified - Official Series Needed</x:v>
      </x:c>
      <x:c r="H5" s="12" t="n">
        <x:v>80</x:v>
      </x:c>
      <x:c r="I5" s="12" t="str">
        <x:v>Market Media / TWSE needed</x:v>
      </x:c>
      <x:c r="J5" s="12" t="str">
        <x:v>Public market reports</x:v>
      </x:c>
      <x:c r="K5" s="12" t="str">
        <x:v>https://www.twse.com.tw/</x:v>
      </x:c>
      <x:c r="L5" s="12" t="str">
        <x:v>保留，但在正式報告中加來源或 TWSE serial ID。</x:v>
      </x:c>
      <x:c r="M5" s="12" t="str">
        <x:v>TWSE_INDEX_INTRADAY / TWSE_MI_INDEX</x:v>
      </x:c>
      <x:c r="N5" s="12" t="str">
        <x:v>Fetch official index series</x:v>
      </x:c>
      <x:c r="O5" s="12" t="str">
        <x:v>可放正文；附錄標官方待補</x:v>
      </x:c>
      <x:c r="P5" s="12" t="str">
        <x:v>與 6/24、6/26 連接形成高點後急殺敘事。</x:v>
      </x:c>
    </x:row>
    <x:row r="6" ht="15" hidden="0" customHeight="1">
      <x:c r="A6" s="12" t="str">
        <x:v>A005</x:v>
      </x:c>
      <x:c r="B6" s="12" t="str">
        <x:v>TSMC / Taiwan Equity</x:v>
      </x:c>
      <x:c r="C6" s="12" t="str">
        <x:v>台積電 2026-06-23 盤中 2,525。</x:v>
      </x:c>
      <x:c r="D6" s="12" t="str">
        <x:v>2026-06-23</x:v>
      </x:c>
      <x:c r="E6" s="12" t="str">
        <x:v>TSMC intraday 2,525</x:v>
      </x:c>
      <x:c r="F6" s="12" t="str">
        <x:v>公開盤勢資料見到「突破 2,500」與部分 2,535；2,525 尚待 TWSE 個股日內資料確認。</x:v>
      </x:c>
      <x:c r="G6" s="12" t="str">
        <x:v>Correct / Pending Official</x:v>
      </x:c>
      <x:c r="H6" s="12" t="n">
        <x:v>55</x:v>
      </x:c>
      <x:c r="I6" s="12" t="str">
        <x:v>Market Media / TWSE needed</x:v>
      </x:c>
      <x:c r="J6" s="12" t="str">
        <x:v>Public market reports</x:v>
      </x:c>
      <x:c r="K6" s="12" t="str">
        <x:v>https://www.twse.com.tw/</x:v>
      </x:c>
      <x:c r="L6" s="12" t="str">
        <x:v>改寫為「台積電盤中衝破 2,500 元，精確高點待 TWSE 核對」。</x:v>
      </x:c>
      <x:c r="M6" s="12" t="str">
        <x:v>TWSE_STOCK_INTRADAY / TWSE_MI_INDEX</x:v>
      </x:c>
      <x:c r="N6" s="12" t="str">
        <x:v>Do not hardcode 2,525 yet</x:v>
      </x:c>
      <x:c r="O6" s="12" t="str">
        <x:v>正文改成模糊敘述；附錄列待查</x:v>
      </x:c>
      <x:c r="P6" s="12" t="str">
        <x:v>避免一個未核實 tick 破壞可信度。</x:v>
      </x:c>
    </x:row>
    <x:row r="7" ht="15" hidden="0" customHeight="1">
      <x:c r="A7" s="12" t="str">
        <x:v>A006</x:v>
      </x:c>
      <x:c r="B7" s="12" t="str">
        <x:v>Taiwan Equity / Institutional Flow</x:v>
      </x:c>
      <x:c r="C7" s="12" t="str">
        <x:v>2026-06-24 台股跌 1,057.05 點收 46,043.60；外資 −1,774.18 億；三大法人 −2,102.38 億。</x:v>
      </x:c>
      <x:c r="D7" s="12" t="str">
        <x:v>2026-06-24</x:v>
      </x:c>
      <x:c r="E7" s="12" t="str">
        <x:v>−1,057.05; close 46,043.60; foreign −1,774.18B TWD; inst −2,102.38B TWD</x:v>
      </x:c>
      <x:c r="F7" s="12" t="str">
        <x:v>經濟日報/中央社資料相符。</x:v>
      </x:c>
      <x:c r="G7" s="12" t="str">
        <x:v>Verified</x:v>
      </x:c>
      <x:c r="H7" s="12" t="n">
        <x:v>95</x:v>
      </x:c>
      <x:c r="I7" s="12" t="str">
        <x:v>Media / Market</x:v>
      </x:c>
      <x:c r="J7" s="12" t="str">
        <x:v>經濟日報 / 中央社</x:v>
      </x:c>
      <x:c r="K7" s="12" t="str">
        <x:v>https://money.udn.com/money/story/5607/9585833</x:v>
      </x:c>
      <x:c r="L7" s="12" t="str">
        <x:v>可保留；正式 VDF 要以 TWSE T86 補齊。</x:v>
      </x:c>
      <x:c r="M7" s="12" t="str">
        <x:v>TWSE_T86 + TWSE_MI_INDEX</x:v>
      </x:c>
      <x:c r="N7" s="12" t="str">
        <x:v>Keep and fetch official</x:v>
      </x:c>
      <x:c r="O7" s="12" t="str">
        <x:v>核心證據，可放主文</x:v>
      </x:c>
      <x:c r="P7" s="12" t="str">
        <x:v>三大法人數字與外資賣超是 FOMO / 承接異常關鍵。</x:v>
      </x:c>
    </x:row>
    <x:row r="8" ht="15" hidden="0" customHeight="1">
      <x:c r="A8" s="12" t="str">
        <x:v>A007</x:v>
      </x:c>
      <x:c r="B8" s="12" t="str">
        <x:v>Taiwan Futures</x:v>
      </x:c>
      <x:c r="C8" s="12" t="str">
        <x:v>2026-06-24 外資台指期未平倉淨空單 83,605 口。</x:v>
      </x:c>
      <x:c r="D8" s="12" t="str">
        <x:v>2026-06-24</x:v>
      </x:c>
      <x:c r="E8" s="12" t="str">
        <x:v>foreign futures net short 83,605 contracts</x:v>
      </x:c>
      <x:c r="F8" s="12" t="str">
        <x:v>媒體報導可用，但正式數值需 TAIFEX 大額交易人/法人資料補抓。</x:v>
      </x:c>
      <x:c r="G8" s="12" t="str">
        <x:v>Pending Official Series</x:v>
      </x:c>
      <x:c r="H8" s="12" t="n">
        <x:v>70</x:v>
      </x:c>
      <x:c r="I8" s="12" t="str">
        <x:v>Media / TAIFEX needed</x:v>
      </x:c>
      <x:c r="J8" s="12" t="str">
        <x:v>Yahoo / TAIFEX needed</x:v>
      </x:c>
      <x:c r="K8" s="12" t="str">
        <x:v>https://www.taifex.com.tw/</x:v>
      </x:c>
      <x:c r="L8" s="12" t="str">
        <x:v>正文可寫「據媒體報導」，附錄標 TAIFEX 待補。</x:v>
      </x:c>
      <x:c r="M8" s="12" t="str">
        <x:v>TAIFEX_MAJOR_TRADERS</x:v>
      </x:c>
      <x:c r="N8" s="12" t="str">
        <x:v>Fetch TAIFEX official</x:v>
      </x:c>
      <x:c r="O8" s="12" t="str">
        <x:v>可作候選證據，不作 final audited number</x:v>
      </x:c>
      <x:c r="P8" s="12" t="str">
        <x:v>這是驗證外資現貨與期貨同步偏空的關鍵。</x:v>
      </x:c>
    </x:row>
    <x:row r="9" ht="15" hidden="0" customHeight="1">
      <x:c r="A9" s="12" t="str">
        <x:v>A008</x:v>
      </x:c>
      <x:c r="B9" s="12" t="str">
        <x:v>Taiwan Equity / Crash Extension</x:v>
      </x:c>
      <x:c r="C9" s="12" t="str">
        <x:v>2026-06-26 台股再崩 1,683.5 點收 44,571.76，外資賣超 1,431.89 億。</x:v>
      </x:c>
      <x:c r="D9" s="12" t="str">
        <x:v>2026-06-26</x:v>
      </x:c>
      <x:c r="E9" s="12" t="str">
        <x:v>−1,683.5; close 44,571.76; foreign −1,431.89B TWD</x:v>
      </x:c>
      <x:c r="F9" s="12" t="str">
        <x:v>經濟日報確認，創史上第 3 大收盤跌點，外資賣超史上第 2 大。</x:v>
      </x:c>
      <x:c r="G9" s="12" t="str">
        <x:v>Verified</x:v>
      </x:c>
      <x:c r="H9" s="12" t="n">
        <x:v>95</x:v>
      </x:c>
      <x:c r="I9" s="12" t="str">
        <x:v>Media / Market</x:v>
      </x:c>
      <x:c r="J9" s="12" t="str">
        <x:v>經濟日報</x:v>
      </x:c>
      <x:c r="K9" s="12" t="str">
        <x:v>https://money.udn.com/money/story/5607/9590923</x:v>
      </x:c>
      <x:c r="L9" s="12" t="str">
        <x:v>原稿遺漏，應補入，強化高點後崩塌論點。</x:v>
      </x:c>
      <x:c r="M9" s="12" t="str">
        <x:v>TWSE_T86 + TWSE_MI_INDEX</x:v>
      </x:c>
      <x:c r="N9" s="12" t="str">
        <x:v>Add to Appendix A and narrative</x:v>
      </x:c>
      <x:c r="O9" s="12" t="str">
        <x:v>核心補強證據</x:v>
      </x:c>
      <x:c r="P9" s="12" t="str">
        <x:v>與 6/24 連成二段式外資大撤退。</x:v>
      </x:c>
    </x:row>
    <x:row r="10" ht="15" hidden="0" customHeight="1">
      <x:c r="A10" s="12" t="str">
        <x:v>A009</x:v>
      </x:c>
      <x:c r="B10" s="12" t="str">
        <x:v>US Labor / BLS</x:v>
      </x:c>
      <x:c r="C10" s="12" t="str">
        <x:v>2026 年 6 月非農 +57k、失業率 4.2%、勞參率 61.5%、E/P 59.0%、前兩月合計下修 74k。</x:v>
      </x:c>
      <x:c r="D10" s="12" t="str">
        <x:v>2026-07-02 release</x:v>
      </x:c>
      <x:c r="E10" s="12" t="str">
        <x:v>+57k; 4.2%; LFPR 61.5%; E/P 59.0%; revisions −74k</x:v>
      </x:c>
      <x:c r="F10" s="12" t="str">
        <x:v>BLS 官方就業報告確認。</x:v>
      </x:c>
      <x:c r="G10" s="12" t="str">
        <x:v>Verified</x:v>
      </x:c>
      <x:c r="H10" s="12" t="n">
        <x:v>100</x:v>
      </x:c>
      <x:c r="I10" s="12" t="str">
        <x:v>Official</x:v>
      </x:c>
      <x:c r="J10" s="12" t="str">
        <x:v>BLS Employment Situation</x:v>
      </x:c>
      <x:c r="K10" s="12" t="str">
        <x:v>https://www.bls.gov/news.release/empsit.nr0.htm</x:v>
      </x:c>
      <x:c r="L10" s="12" t="str">
        <x:v>可保留；這是就業 headline 失真論點主證據。</x:v>
      </x:c>
      <x:c r="M10" s="12" t="str">
        <x:v>BLS_API / FRED fallback</x:v>
      </x:c>
      <x:c r="N10" s="12" t="str">
        <x:v>Keep</x:v>
      </x:c>
      <x:c r="O10" s="12" t="str">
        <x:v>核心總經證據</x:v>
      </x:c>
      <x:c r="P10" s="12" t="str">
        <x:v>建議拆表：Establishment vs Household。</x:v>
      </x:c>
    </x:row>
    <x:row r="11" ht="15" hidden="0" customHeight="1">
      <x:c r="A11" s="12" t="str">
        <x:v>A010</x:v>
      </x:c>
      <x:c r="B11" s="12" t="str">
        <x:v>US Labor / Household Survey</x:v>
      </x:c>
      <x:c r="C11" s="12" t="str">
        <x:v>家庭調查就業 −507k、勞動力 −720k；失業率下降主要因分母收縮。</x:v>
      </x:c>
      <x:c r="D11" s="12" t="str">
        <x:v>2026-07-02 release</x:v>
      </x:c>
      <x:c r="E11" s="12" t="str">
        <x:v>household employment −507k; labor force −720k</x:v>
      </x:c>
      <x:c r="F11" s="12" t="str">
        <x:v>Reuters 報導提到 720k 退出勞動力；家庭調查需從 BLS A-table 抽數。</x:v>
      </x:c>
      <x:c r="G11" s="12" t="str">
        <x:v>Verified - Table Pull Needed</x:v>
      </x:c>
      <x:c r="H11" s="12" t="n">
        <x:v>85</x:v>
      </x:c>
      <x:c r="I11" s="12" t="str">
        <x:v>Official / Media</x:v>
      </x:c>
      <x:c r="J11" s="12" t="str">
        <x:v>BLS + Reuters</x:v>
      </x:c>
      <x:c r="K11" s="12" t="str">
        <x:v>https://www.reuters.com/world/us/us-job-growth-misses-expectations-june-unemployment-rate-falls-42-2026-07-02/</x:v>
      </x:c>
      <x:c r="L11" s="12" t="str">
        <x:v>可寫成「headline 失業率下降受勞動參與率下降影響」。</x:v>
      </x:c>
      <x:c r="M11" s="12" t="str">
        <x:v>BLS_CPS_TABLE_A</x:v>
      </x:c>
      <x:c r="N11" s="12" t="str">
        <x:v>Fetch BLS table A values</x:v>
      </x:c>
      <x:c r="O11" s="12" t="str">
        <x:v>核心解釋因子</x:v>
      </x:c>
      <x:c r="P11" s="12" t="str">
        <x:v>不要寫成造假；寫成樣本/分母/調查背離。</x:v>
      </x:c>
    </x:row>
    <x:row r="12" ht="15" hidden="0" customHeight="1">
      <x:c r="A12" s="12" t="str">
        <x:v>A011</x:v>
      </x:c>
      <x:c r="B12" s="12" t="str">
        <x:v>Fed / FOMC</x:v>
      </x:c>
      <x:c r="C12" s="12" t="str">
        <x:v>2026-06-17 FOMC 維持聯邦基金利率 3.50%–3.75%。</x:v>
      </x:c>
      <x:c r="D12" s="12" t="str">
        <x:v>2026-06-17</x:v>
      </x:c>
      <x:c r="E12" s="12" t="str">
        <x:v>Hold 3.50%–3.75%</x:v>
      </x:c>
      <x:c r="F12" s="12" t="str">
        <x:v>Fed 官方聲明確認。</x:v>
      </x:c>
      <x:c r="G12" s="12" t="str">
        <x:v>Verified</x:v>
      </x:c>
      <x:c r="H12" s="12" t="n">
        <x:v>100</x:v>
      </x:c>
      <x:c r="I12" s="12" t="str">
        <x:v>Official</x:v>
      </x:c>
      <x:c r="J12" s="12" t="str">
        <x:v>Federal Reserve</x:v>
      </x:c>
      <x:c r="K12" s="12" t="str">
        <x:v>https://www.federalreserve.gov/newsevents/pressreleases/monetary20260617a.htm</x:v>
      </x:c>
      <x:c r="L12" s="12" t="str">
        <x:v>可保留。</x:v>
      </x:c>
      <x:c r="M12" s="12" t="str">
        <x:v>FRED_FEDFUNDS + FOMC_SCRAPER</x:v>
      </x:c>
      <x:c r="N12" s="12" t="str">
        <x:v>Keep</x:v>
      </x:c>
      <x:c r="O12" s="12" t="str">
        <x:v>核心 Fed 敘事</x:v>
      </x:c>
      <x:c r="P12" s="12" t="str">
        <x:v>利率水準與市場升息/降息預期要分開。</x:v>
      </x:c>
    </x:row>
    <x:row r="13" ht="15" hidden="0" customHeight="1">
      <x:c r="A13" s="12" t="str">
        <x:v>A012</x:v>
      </x:c>
      <x:c r="B13" s="12" t="str">
        <x:v>Fed / Market Pricing</x:v>
      </x:c>
      <x:c r="C13" s="12" t="str">
        <x:v>Fed 因果鏈應改為 higher-for-longer / 年底前升息風險，而不是 12 月降息機率大減。</x:v>
      </x:c>
      <x:c r="D13" s="12" t="str">
        <x:v>2026-06-17 ~ 2026-07-02</x:v>
      </x:c>
      <x:c r="E13" s="12" t="str">
        <x:v>Fed chain: rate-hike pricing, weak payroll lowered near-term hike odds</x:v>
      </x:c>
      <x:c r="F13" s="12" t="str">
        <x:v>Reuters 指弱非農後 July hike odds below 20%, September around 60% vs 75% before report；Fed 目標區間仍 3.50%–3.75%。</x:v>
      </x:c>
      <x:c r="G13" s="12" t="str">
        <x:v>Corrected</x:v>
      </x:c>
      <x:c r="H13" s="12" t="n">
        <x:v>85</x:v>
      </x:c>
      <x:c r="I13" s="12" t="str">
        <x:v>Market / Fed</x:v>
      </x:c>
      <x:c r="J13" s="12" t="str">
        <x:v>Reuters + Federal Reserve</x:v>
      </x:c>
      <x:c r="K13" s="12" t="str">
        <x:v>https://www.reuters.com/business/fed-seen-less-likely-raise-rates-job-growth-slows-2026-07-02/</x:v>
      </x:c>
      <x:c r="L13" s="12" t="str">
        <x:v>改寫為「市場由降息期待轉為 higher-for-longer / 升息風險，但弱非農降低短端升息機率」。</x:v>
      </x:c>
      <x:c r="M13" s="12" t="str">
        <x:v>CME_FEDWATCH / FRED_DGS2 / FOMC</x:v>
      </x:c>
      <x:c r="N13" s="12" t="str">
        <x:v>Rewrite narrative</x:v>
      </x:c>
      <x:c r="O13" s="12" t="str">
        <x:v>主文要修正</x:v>
      </x:c>
      <x:c r="P13" s="12" t="str">
        <x:v>不要和 2Y yield 走勢自相矛盾。</x:v>
      </x:c>
    </x:row>
    <x:row r="14" ht="15" hidden="0" customHeight="1">
      <x:c r="A14" s="12" t="str">
        <x:v>A013</x:v>
      </x:c>
      <x:c r="B14" s="12" t="str">
        <x:v>Fed / Dot Plot</x:v>
      </x:c>
      <x:c r="C14" s="12" t="str">
        <x:v>點陣圖 9/18 位升息、CPI 4.2%、2Y 4.21%。</x:v>
      </x:c>
      <x:c r="D14" s="12" t="str">
        <x:v>2026-06-17</x:v>
      </x:c>
      <x:c r="E14" s="12" t="str">
        <x:v>9/18 hikes; CPI 4.2%; 2Y 4.21%</x:v>
      </x:c>
      <x:c r="F14" s="12" t="str">
        <x:v>Fed SEP 官方可驗證；媒體解讀顯示 9 位官員預期年底利率更高、8 位不變、1 位下降。CPI/2Y 需分別用 BLS/FRED 驗證。</x:v>
      </x:c>
      <x:c r="G14" s="12" t="str">
        <x:v>Corrected / Split Required</x:v>
      </x:c>
      <x:c r="H14" s="12" t="n">
        <x:v>70</x:v>
      </x:c>
      <x:c r="I14" s="12" t="str">
        <x:v>Official / Market</x:v>
      </x:c>
      <x:c r="J14" s="12" t="str">
        <x:v>Fed SEP + Barron's/market reports</x:v>
      </x:c>
      <x:c r="K14" s="12" t="str">
        <x:v>https://www.federalreserve.gov/monetarypolicy/files/fomcprojtabl20260617.pdf</x:v>
      </x:c>
      <x:c r="L14" s="12" t="str">
        <x:v>拆成三列資料：SEP dots、CPI、2Y yield；不要混成一條未驗證複合句。</x:v>
      </x:c>
      <x:c r="M14" s="12" t="str">
        <x:v>FOMC_SEP + BLS_CPI + FRED_DGS2</x:v>
      </x:c>
      <x:c r="N14" s="12" t="str">
        <x:v>Split into separate claims</x:v>
      </x:c>
      <x:c r="O14" s="12" t="str">
        <x:v>附錄拆列後再用</x:v>
      </x:c>
      <x:c r="P14" s="12" t="str">
        <x:v>目前不宜一句話寫死。</x:v>
      </x:c>
    </x:row>
    <x:row r="15" ht="15" hidden="0" customHeight="1">
      <x:c r="A15" s="12" t="str">
        <x:v>A014</x:v>
      </x:c>
      <x:c r="B15" s="12" t="str">
        <x:v>Taiwan Margin / Retail</x:v>
      </x:c>
      <x:c r="C15" s="12" t="str">
        <x:v>集中市場融資 6,050.4 億、櫃買 2,084.4 億、兩市 8,134.8 億；零股 710.7 億。</x:v>
      </x:c>
      <x:c r="D15" s="12" t="str">
        <x:v>2026-06 late</x:v>
      </x:c>
      <x:c r="E15" s="12" t="str">
        <x:v>TWSE margin 6,050.4B; TPEX 2,084.4B; total 8,134.8B; odd-lot 710.7B</x:v>
      </x:c>
      <x:c r="F15" s="12" t="str">
        <x:v>媒體報導已見相同數字；官方 TWSE/TPEx 數列仍需 VDF 補抓。</x:v>
      </x:c>
      <x:c r="G15" s="12" t="str">
        <x:v>Media Verified / Official Pending</x:v>
      </x:c>
      <x:c r="H15" s="12" t="n">
        <x:v>75</x:v>
      </x:c>
      <x:c r="I15" s="12" t="str">
        <x:v>Media / Official needed</x:v>
      </x:c>
      <x:c r="J15" s="12" t="str">
        <x:v>UDN / TWSE / TPEx</x:v>
      </x:c>
      <x:c r="K15" s="12" t="str">
        <x:v>https://udn.com/news/story/7251/9581922</x:v>
      </x:c>
      <x:c r="L15" s="12" t="str">
        <x:v>可列為媒體驗證；正式 FOMO 分數需官方序列。</x:v>
      </x:c>
      <x:c r="M15" s="12" t="str">
        <x:v>TWSE_MI_MARGN + TPEX_MARGIN</x:v>
      </x:c>
      <x:c r="N15" s="12" t="str">
        <x:v>Fetch official series before scoring</x:v>
      </x:c>
      <x:c r="O15" s="12" t="str">
        <x:v>附錄可列；模型不可直接用 media value</x:v>
      </x:c>
      <x:c r="P15" s="12" t="str">
        <x:v>這是 margin_fomo P0 資料。</x:v>
      </x:c>
    </x:row>
    <x:row r="16" ht="15" hidden="0" customHeight="1">
      <x:c r="A16" s="12" t="str">
        <x:v>A015</x:v>
      </x:c>
      <x:c r="B16" s="12" t="str">
        <x:v>Taiwan Momentum / Top Winners</x:v>
      </x:c>
      <x:c r="C16" s="12" t="str">
        <x:v>前 20 強勢股 +31%~60%。</x:v>
      </x:c>
      <x:c r="D16" s="12" t="str">
        <x:v>2026-06-19 / 2026-07-03</x:v>
      </x:c>
      <x:c r="E16" s="12" t="str">
        <x:v>Top 20 +31%~60%</x:v>
      </x:c>
      <x:c r="F16" s="12" t="str">
        <x:v>需拆時點：6/19 週排行約 32.5%~46.1%；7/3 盤中週排行可見 60%+，不能混用。</x:v>
      </x:c>
      <x:c r="G16" s="12" t="str">
        <x:v>Corrected</x:v>
      </x:c>
      <x:c r="H16" s="12" t="n">
        <x:v>65</x:v>
      </x:c>
      <x:c r="I16" s="12" t="str">
        <x:v>Market Media</x:v>
      </x:c>
      <x:c r="J16" s="12" t="str">
        <x:v>Vocus / WantGoo</x:v>
      </x:c>
      <x:c r="K16" s="12" t="str">
        <x:v>https://vocus.cc/article/6a362c3cfd89780001ae7e3f</x:v>
      </x:c>
      <x:c r="L16" s="12" t="str">
        <x:v>改寫為「部分週排行強勢股漲幅極端，視取樣日可達 30%~60%+」。</x:v>
      </x:c>
      <x:c r="M16" s="12" t="str">
        <x:v>TWSE/TPEX_PRICE_DAILY_TOP20</x:v>
      </x:c>
      <x:c r="N16" s="12" t="str">
        <x:v>Recompute from official price data</x:v>
      </x:c>
      <x:c r="O16" s="12" t="str">
        <x:v>敘事可用；數字要重算</x:v>
      </x:c>
      <x:c r="P16" s="12" t="str">
        <x:v>這應從 VDF 逐檔價格自算，不要依賴媒體列表。</x:v>
      </x:c>
    </x:row>
    <x:row r="17" ht="15" hidden="0" customHeight="1">
      <x:c r="A17" s="12" t="str">
        <x:v>A016</x:v>
      </x:c>
      <x:c r="B17" s="12" t="str">
        <x:v>US Labor / Response Rates</x:v>
      </x:c>
      <x:c r="C17" s="12" t="str">
        <x:v>CES/CPS 收件率近月值；60% 掉到 40 幾%。</x:v>
      </x:c>
      <x:c r="D17" s="12" t="str">
        <x:v>2026</x:v>
      </x:c>
      <x:c r="E17" s="12" t="str">
        <x:v>response rate 60% → 40s</x:v>
      </x:c>
      <x:c r="F17" s="12" t="str">
        <x:v>BLS response rate page可用；CPS 回覆率長期下降方向成立，但精確『60 到 40 幾』尚未驗證。</x:v>
      </x:c>
      <x:c r="G17" s="12" t="str">
        <x:v>Corrected / Exact Value Pending</x:v>
      </x:c>
      <x:c r="H17" s="12" t="n">
        <x:v>60</x:v>
      </x:c>
      <x:c r="I17" s="12" t="str">
        <x:v>Official</x:v>
      </x:c>
      <x:c r="J17" s="12" t="str">
        <x:v>BLS Response Rates</x:v>
      </x:c>
      <x:c r="K17" s="12" t="str">
        <x:v>https://www.bls.gov/osmr/response-rates/</x:v>
      </x:c>
      <x:c r="L17" s="12" t="str">
        <x:v>寫成「回覆率長期下降，需折扣資料品質」，不要寫精確 40 幾%。</x:v>
      </x:c>
      <x:c r="M17" s="12" t="str">
        <x:v>BLS_RESPONSE_RATE_TABLE</x:v>
      </x:c>
      <x:c r="N17" s="12" t="str">
        <x:v>Fetch BLS response-rate tables</x:v>
      </x:c>
      <x:c r="O17" s="12" t="str">
        <x:v>方法論可用；精確數字待抓</x:v>
      </x:c>
      <x:c r="P17" s="12" t="str">
        <x:v>可做 Data Quality Discount，不可當失真定論。</x:v>
      </x:c>
    </x:row>
    <x:row r="18" ht="15" hidden="0" customHeight="1">
      <x:c r="A18" s="12" t="str">
        <x:v>A017</x:v>
      </x:c>
      <x:c r="B18" s="12" t="str">
        <x:v>Global Macro / PMI Dashboard</x:v>
      </x:c>
      <x:c r="C18" s="12" t="str">
        <x:v>全球 PMI dashboard 九區並列數字可正式使用。</x:v>
      </x:c>
      <x:c r="D18" s="12" t="str">
        <x:v>2026-06</x:v>
      </x:c>
      <x:c r="E18" s="12" t="str">
        <x:v>US 48.7; Europe 45.8; Japan 50.1; China 50.8; Taiwan 48.3; etc.</x:v>
      </x:c>
      <x:c r="F18" s="12" t="str">
        <x:v>多數 headline 與最新公開資料不一致；目前應標為 UI demo / mock data，不可入正式報告。</x:v>
      </x:c>
      <x:c r="G18" s="12" t="str">
        <x:v>Reject / Rebuild</x:v>
      </x:c>
      <x:c r="H18" s="12" t="n">
        <x:v>95</x:v>
      </x:c>
      <x:c r="I18" s="12" t="str">
        <x:v>Multi-source</x:v>
      </x:c>
      <x:c r="J18" s="12" t="str">
        <x:v>ISM / S&amp;P Global / Reuters / NBS</x:v>
      </x:c>
      <x:c r="K18" s="12" t="str">
        <x:v>https://www.pmi.spglobal.com/Public/Release/PressReleases</x:v>
      </x:c>
      <x:c r="L18" s="12" t="str">
        <x:v>重抓 PMI headline 與分項；保留 UI 規格但替換數字。</x:v>
      </x:c>
      <x:c r="M18" s="12" t="str">
        <x:v>GLOBAL_PMI_ENGINE</x:v>
      </x:c>
      <x:c r="N18" s="12" t="str">
        <x:v>Re-fetch all PMI rows</x:v>
      </x:c>
      <x:c r="O18" s="12" t="str">
        <x:v>不可正式使用</x:v>
      </x:c>
      <x:c r="P18" s="12" t="str">
        <x:v>視覺鎖可保留，數字必須重建。</x:v>
      </x:c>
    </x:row>
    <x:row r="19" ht="15" hidden="0" customHeight="1">
      <x:c r="A19" s="12" t="str">
        <x:v>A018</x:v>
      </x:c>
      <x:c r="B19" s="12" t="str">
        <x:v>Global Macro / US PMI</x:v>
      </x:c>
      <x:c r="C19" s="12" t="str">
        <x:v>美國製造業 PMI = 48.7，收縮。</x:v>
      </x:c>
      <x:c r="D19" s="12" t="str">
        <x:v>2026-06</x:v>
      </x:c>
      <x:c r="E19" s="12" t="str">
        <x:v>48.7 contraction</x:v>
      </x:c>
      <x:c r="F19" s="12" t="str">
        <x:v>ISM 2026-06 Manufacturing PMI = 53.3，擴張；New Orders 56.0, Production 52.2, Employment 49.7, Prices 73.0。</x:v>
      </x:c>
      <x:c r="G19" s="12" t="str">
        <x:v>Reject / Replace</x:v>
      </x:c>
      <x:c r="H19" s="12" t="n">
        <x:v>100</x:v>
      </x:c>
      <x:c r="I19" s="12" t="str">
        <x:v>Official / ISM</x:v>
      </x:c>
      <x:c r="J19" s="12" t="str">
        <x:v>ISM Manufacturing PMI</x:v>
      </x:c>
      <x:c r="K19" s="12" t="str">
        <x:v>https://www.ismworld.org/globalassets/pub/research-and-surveys/rob/pmi/hotdm202606pmi.pdf</x:v>
      </x:c>
      <x:c r="L19" s="12" t="str">
        <x:v>48.7 必須替換成 53.3；美國為擴張，不是收縮。</x:v>
      </x:c>
      <x:c r="M19" s="12" t="str">
        <x:v>ISM_MANUFACTURING_PMI</x:v>
      </x:c>
      <x:c r="N19" s="12" t="str">
        <x:v>Replace in dashboard</x:v>
      </x:c>
      <x:c r="O19" s="12" t="str">
        <x:v>原表不可用</x:v>
      </x:c>
      <x:c r="P19" s="12" t="str">
        <x:v>US PMI 分項也要一起替換。</x:v>
      </x:c>
    </x:row>
    <x:row r="20" ht="15" hidden="0" customHeight="1">
      <x:c r="A20" s="12" t="str">
        <x:v>A019</x:v>
      </x:c>
      <x:c r="B20" s="12" t="str">
        <x:v>Global Macro / Eurozone PMI</x:v>
      </x:c>
      <x:c r="C20" s="12" t="str">
        <x:v>歐洲製造業 PMI = 45.8，收縮。</x:v>
      </x:c>
      <x:c r="D20" s="12" t="str">
        <x:v>2026-06</x:v>
      </x:c>
      <x:c r="E20" s="12" t="str">
        <x:v>45.8 contraction</x:v>
      </x:c>
      <x:c r="F20" s="12" t="str">
        <x:v>S&amp;P Global Eurozone Manufacturing PMI = 51.4，連續第 5 個月擴張。</x:v>
      </x:c>
      <x:c r="G20" s="12" t="str">
        <x:v>Reject / Replace</x:v>
      </x:c>
      <x:c r="H20" s="12" t="n">
        <x:v>95</x:v>
      </x:c>
      <x:c r="I20" s="12" t="str">
        <x:v>S&amp;P Global / Reuters</x:v>
      </x:c>
      <x:c r="J20" s="12" t="str">
        <x:v>S&amp;P Global Eurozone PMI</x:v>
      </x:c>
      <x:c r="K20" s="12" t="str">
        <x:v>https://www.pmi.spglobal.com/Public/Home/PressRelease/39a5ffc404db4d87b6f1da622ba9763a</x:v>
      </x:c>
      <x:c r="L20" s="12" t="str">
        <x:v>45.8 必須替換成 51.4；歐元區為擴張，不是收縮。</x:v>
      </x:c>
      <x:c r="M20" s="12" t="str">
        <x:v>SPGLOBAL_EUROZONE_MFG_PMI</x:v>
      </x:c>
      <x:c r="N20" s="12" t="str">
        <x:v>Replace in dashboard</x:v>
      </x:c>
      <x:c r="O20" s="12" t="str">
        <x:v>原表不可用</x:v>
      </x:c>
      <x:c r="P20" s="12" t="str">
        <x:v>可加 Reuters 二次驗證。</x:v>
      </x:c>
    </x:row>
    <x:row r="21" ht="15" hidden="0" customHeight="1">
      <x:c r="A21" s="12" t="str">
        <x:v>A020</x:v>
      </x:c>
      <x:c r="B21" s="12" t="str">
        <x:v>Global Macro / China PMI</x:v>
      </x:c>
      <x:c r="C21" s="12" t="str">
        <x:v>中國官方製造業 PMI = 50.8。</x:v>
      </x:c>
      <x:c r="D21" s="12" t="str">
        <x:v>2026-06</x:v>
      </x:c>
      <x:c r="E21" s="12" t="str">
        <x:v>50.8</x:v>
      </x:c>
      <x:c r="F21" s="12" t="str">
        <x:v>NBS / Reuters 顯示 2026-06 官方製造業 PMI = 50.3。</x:v>
      </x:c>
      <x:c r="G21" s="12" t="str">
        <x:v>Corrected</x:v>
      </x:c>
      <x:c r="H21" s="12" t="n">
        <x:v>90</x:v>
      </x:c>
      <x:c r="I21" s="12" t="str">
        <x:v>Official / Reuters</x:v>
      </x:c>
      <x:c r="J21" s="12" t="str">
        <x:v>NBS via Reuters</x:v>
      </x:c>
      <x:c r="K21" s="12" t="str">
        <x:v>https://www.reuters.com/world/asia-pacific/chinas-june-factory-activity-rises-503-2026-06-30/</x:v>
      </x:c>
      <x:c r="L21" s="12" t="str">
        <x:v>50.8 改為 50.3。</x:v>
      </x:c>
      <x:c r="M21" s="12" t="str">
        <x:v>CHINA_NBS_PMI</x:v>
      </x:c>
      <x:c r="N21" s="12" t="str">
        <x:v>Replace value</x:v>
      </x:c>
      <x:c r="O21" s="12" t="str">
        <x:v>可用但需修數字</x:v>
      </x:c>
      <x:c r="P21" s="12" t="str">
        <x:v>中國仍是輕度擴張。</x:v>
      </x:c>
    </x:row>
    <x:row r="22" ht="15" hidden="0" customHeight="1">
      <x:c r="A22" s="12" t="str">
        <x:v>A021</x:v>
      </x:c>
      <x:c r="B22" s="12" t="str">
        <x:v>Global Macro / Taiwan PMI</x:v>
      </x:c>
      <x:c r="C22" s="12" t="str">
        <x:v>台灣 S&amp;P Global 製造業 PMI = 48.3，收縮。</x:v>
      </x:c>
      <x:c r="D22" s="12" t="str">
        <x:v>2026-06</x:v>
      </x:c>
      <x:c r="E22" s="12" t="str">
        <x:v>48.3 contraction</x:v>
      </x:c>
      <x:c r="F22" s="12" t="str">
        <x:v>S&amp;P Global Taiwan Manufacturing PMI = 55.2，強擴張。</x:v>
      </x:c>
      <x:c r="G22" s="12" t="str">
        <x:v>Reject / Replace</x:v>
      </x:c>
      <x:c r="H22" s="12" t="n">
        <x:v>95</x:v>
      </x:c>
      <x:c r="I22" s="12" t="str">
        <x:v>S&amp;P Global / TE</x:v>
      </x:c>
      <x:c r="J22" s="12" t="str">
        <x:v>S&amp;P Global Taiwan PMI</x:v>
      </x:c>
      <x:c r="K22" s="12" t="str">
        <x:v>https://www.pmi.spglobal.com/Public/Home/PressRelease/89bfc98738d24b08bead9edbe1dc51b6</x:v>
      </x:c>
      <x:c r="L22" s="12" t="str">
        <x:v>48.3 改為 55.2；台灣不是收縮。</x:v>
      </x:c>
      <x:c r="M22" s="12" t="str">
        <x:v>SPGLOBAL_TAIWAN_MFG_PMI</x:v>
      </x:c>
      <x:c r="N22" s="12" t="str">
        <x:v>Replace value and state</x:v>
      </x:c>
      <x:c r="O22" s="12" t="str">
        <x:v>原表不可用</x:v>
      </x:c>
      <x:c r="P22" s="12" t="str">
        <x:v>這會大幅改變全球總經 dashboard 判讀。</x:v>
      </x:c>
    </x:row>
    <x:row r="23" ht="15" hidden="0" customHeight="1">
      <x:c r="A23" s="12" t="str">
        <x:v>A022</x:v>
      </x:c>
      <x:c r="B23" s="12" t="str">
        <x:v>Global Macro / Japan PMI</x:v>
      </x:c>
      <x:c r="C23" s="12" t="str">
        <x:v>日本製造業 PMI = 50.1。</x:v>
      </x:c>
      <x:c r="D23" s="12" t="str">
        <x:v>2026-06</x:v>
      </x:c>
      <x:c r="E23" s="12" t="str">
        <x:v>50.1</x:v>
      </x:c>
      <x:c r="F23" s="12" t="str">
        <x:v>S&amp;P Global Japan Manufacturing PMI final = 54.8；Reuters/TE 也一致。</x:v>
      </x:c>
      <x:c r="G23" s="12" t="str">
        <x:v>Reject / Replace</x:v>
      </x:c>
      <x:c r="H23" s="12" t="n">
        <x:v>90</x:v>
      </x:c>
      <x:c r="I23" s="12" t="str">
        <x:v>S&amp;P Global / Reuters</x:v>
      </x:c>
      <x:c r="J23" s="12" t="str">
        <x:v>S&amp;P Global Japan PMI</x:v>
      </x:c>
      <x:c r="K23" s="12" t="str">
        <x:v>https://www.pmi.spglobal.com/Public/Home/PressRelease/cf9e4165606042458c4a0b17af83606a</x:v>
      </x:c>
      <x:c r="L23" s="12" t="str">
        <x:v>50.1 改為 54.8。</x:v>
      </x:c>
      <x:c r="M23" s="12" t="str">
        <x:v>SPGLOBAL_JAPAN_MFG_PMI</x:v>
      </x:c>
      <x:c r="N23" s="12" t="str">
        <x:v>Replace value</x:v>
      </x:c>
      <x:c r="O23" s="12" t="str">
        <x:v>原表不可用</x:v>
      </x:c>
      <x:c r="P23" s="12" t="str">
        <x:v>日本比表內強很多。</x:v>
      </x:c>
    </x:row>
    <x:row r="24" ht="15" hidden="0" customHeight="1">
      <x:c r="A24" s="12" t="str">
        <x:v>A023</x:v>
      </x:c>
      <x:c r="B24" s="12" t="str">
        <x:v>Global Macro / South Asia PMI</x:v>
      </x:c>
      <x:c r="C24" s="12" t="str">
        <x:v>南亞製造業 PMI = 57.5。</x:v>
      </x:c>
      <x:c r="D24" s="12" t="str">
        <x:v>2026-06</x:v>
      </x:c>
      <x:c r="E24" s="12" t="str">
        <x:v>57.5</x:v>
      </x:c>
      <x:c r="F24" s="12" t="str">
        <x:v>S&amp;P Global release page 顯示 India Manufacturing PMI Jun = 54.5；若用南亞代表需明確定義。</x:v>
      </x:c>
      <x:c r="G24" s="12" t="str">
        <x:v>Pending Definition / Likely Replace</x:v>
      </x:c>
      <x:c r="H24" s="12" t="n">
        <x:v>70</x:v>
      </x:c>
      <x:c r="I24" s="12" t="str">
        <x:v>S&amp;P Global</x:v>
      </x:c>
      <x:c r="J24" s="12" t="str">
        <x:v>S&amp;P Global PMI Releases</x:v>
      </x:c>
      <x:c r="K24" s="12" t="str">
        <x:v>https://www.pmi.spglobal.com/Public/Release/PressReleases</x:v>
      </x:c>
      <x:c r="L24" s="12" t="str">
        <x:v>先定義南亞是否等於印度；若是，初步應用 54.5 而非 57.5。</x:v>
      </x:c>
      <x:c r="M24" s="12" t="str">
        <x:v>SPGLOBAL_INDIA_MFG_PMI</x:v>
      </x:c>
      <x:c r="N24" s="12" t="str">
        <x:v>Define region proxy and replace</x:v>
      </x:c>
      <x:c r="O24" s="12" t="str">
        <x:v>不可直接用</x:v>
      </x:c>
      <x:c r="P24" s="12" t="str">
        <x:v>區域 proxy 必須有 methodology。</x:v>
      </x:c>
    </x:row>
    <x:row r="25" ht="15" hidden="0" customHeight="1">
      <x:c r="A25" s="12" t="str">
        <x:v>A024</x:v>
      </x:c>
      <x:c r="B25" s="12" t="str">
        <x:v>Global Macro / Middle East PMI</x:v>
      </x:c>
      <x:c r="C25" s="12" t="str">
        <x:v>中東 PMI = 54.2。</x:v>
      </x:c>
      <x:c r="D25" s="12" t="str">
        <x:v>2026-06</x:v>
      </x:c>
      <x:c r="E25" s="12" t="str">
        <x:v>54.2</x:v>
      </x:c>
      <x:c r="F25" s="12" t="str">
        <x:v>若以沙烏地為代表，最新可得 S&amp;P Global/Riyad Bank May 2026 = 52.8；June value需再抓。</x:v>
      </x:c>
      <x:c r="G25" s="12" t="str">
        <x:v>Pending Latest Release</x:v>
      </x:c>
      <x:c r="H25" s="12" t="n">
        <x:v>60</x:v>
      </x:c>
      <x:c r="I25" s="12" t="str">
        <x:v>S&amp;P Global / Reuters</x:v>
      </x:c>
      <x:c r="J25" s="12" t="str">
        <x:v>Riyad Bank Saudi Arabia PMI</x:v>
      </x:c>
      <x:c r="K25" s="12" t="str">
        <x:v>https://www.reuters.com/world/middle-east/saudi-non-oil-private-sector-activity-hits-three-month-high-may-pmi-shows-2026-06-03/</x:v>
      </x:c>
      <x:c r="L25" s="12" t="str">
        <x:v>先標「June pending」；不要硬寫 54.2。</x:v>
      </x:c>
      <x:c r="M25" s="12" t="str">
        <x:v>SPGLOBAL_SAUDI_PMI</x:v>
      </x:c>
      <x:c r="N25" s="12" t="str">
        <x:v>Fetch June release or latest available</x:v>
      </x:c>
      <x:c r="O25" s="12" t="str">
        <x:v>不可直接用</x:v>
      </x:c>
      <x:c r="P25" s="12" t="str">
        <x:v>中東用沙烏地代表需要在方法論註明。</x:v>
      </x:c>
    </x:row>
    <x:row r="26" ht="15" hidden="0" customHeight="1">
      <x:c r="A26" s="12" t="str">
        <x:v>A025</x:v>
      </x:c>
      <x:c r="B26" s="12" t="str">
        <x:v>Global Macro / ASEAN PMI</x:v>
      </x:c>
      <x:c r="C26" s="12" t="str">
        <x:v>東南亞 PMI = 51.2，印尼代表。</x:v>
      </x:c>
      <x:c r="D26" s="12" t="str">
        <x:v>2026-06</x:v>
      </x:c>
      <x:c r="E26" s="12" t="str">
        <x:v>51.2</x:v>
      </x:c>
      <x:c r="F26" s="12" t="str">
        <x:v>目前缺少明確來源與 proxy 定義；需確認是 ASEAN aggregate、Indonesia、Thailand 或其他。</x:v>
      </x:c>
      <x:c r="G26" s="12" t="str">
        <x:v>Pending Definition</x:v>
      </x:c>
      <x:c r="H26" s="12" t="n">
        <x:v>50</x:v>
      </x:c>
      <x:c r="I26" s="12" t="str">
        <x:v>S&amp;P Global needed</x:v>
      </x:c>
      <x:c r="J26" s="12" t="str">
        <x:v>S&amp;P Global PMI Releases</x:v>
      </x:c>
      <x:c r="K26" s="12" t="str">
        <x:v>https://www.pmi.spglobal.com/Public/Release/PressReleases</x:v>
      </x:c>
      <x:c r="L26" s="12" t="str">
        <x:v>先定義 proxy；再抓資料。</x:v>
      </x:c>
      <x:c r="M26" s="12" t="str">
        <x:v>SPGLOBAL_ASEAN_OR_COUNTRY_PMI</x:v>
      </x:c>
      <x:c r="N26" s="12" t="str">
        <x:v>Define region proxy</x:v>
      </x:c>
      <x:c r="O26" s="12" t="str">
        <x:v>不可直接用</x:v>
      </x:c>
      <x:c r="P26" s="12" t="str">
        <x:v>區域資料不能任意用單一國家取代。</x:v>
      </x:c>
    </x:row>
  </x:sheetData>
  <x:conditionalFormatting sqref="G2:G26">
    <x:cfRule type="expression" dxfId="0" priority="1">
      <x:formula>ISNUMBER(SEARCH("Reject",G2))</x:formula>
    </x:cfRule>
    <x:cfRule type="expression" dxfId="1" priority="2">
      <x:formula>ISNUMBER(SEARCH("Pending",G2))</x:formula>
    </x:cfRule>
    <x:cfRule type="expression" dxfId="2" priority="3">
      <x:formula>ISNUMBER(SEARCH("Verified",G2))</x:formula>
    </x:cfRule>
    <x:cfRule type="expression" dxfId="3" priority="4">
      <x:formula>ISNUMBER(SEARCH("Correct",G2))</x:formula>
    </x:cfRule>
  </x:conditionalFormatting>
  <x:conditionalFormatting sqref="H2:H26">
    <x:cfRule type="dataBar" priority="5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{32A30505-6F0E-FB24-BAD5-D4078768A91E}</x14:id>
        </x:ext>
      </x:extLst>
    </x:cfRule>
  </x:conditionalFormatting>
  <x:dataValidations count="1">
    <x:dataValidation type="list" sqref="G2:G125">
      <x:formula1>"Verified,Verified - Price Needs Market Source,Verified - Official Series Needed,Verified - Table Pull Needed,Corrected,Correct / Pending Official,Corrected / Split Required,Corrected / Exact Value Pending,Pending,Pending Official Series,Media Verified / Official Pending,Pending Definition,Pending Latest Release,Pending Definition / Likely Replace,Reject / Replace,Reject / Rebuild"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a35e3a3b464f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2A30505-6F0E-FB24-BAD5-D4078768A91E}">
            <x14:dataBar gradient="1">
              <x14:cfvo type="min"/>
              <x14:cfvo type="max"/>
              <x14:fillColor rgb="FF0F766E"/>
            </x14:dataBar>
          </x14:cfRule>
          <xm:sqref>H2:H26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25" hidden="0" customWidth="1"/>
    <x:col min="5" max="5" width="24" hidden="0" customWidth="1"/>
    <x:col min="6" max="6" width="60" hidden="0" customWidth="1"/>
    <x:col min="7" max="7" width="50" hidden="0" customWidth="1"/>
  </x:cols>
  <x:sheetData>
    <x:row r="1" ht="15" hidden="0" customHeight="1">
      <x:c r="A1" s="6" t="str">
        <x:v>region</x:v>
      </x:c>
      <x:c r="B1" s="6" t="str">
        <x:v>indicator</x:v>
      </x:c>
      <x:c r="C1" s="6" t="str">
        <x:v>user_value</x:v>
      </x:c>
      <x:c r="D1" s="6" t="str">
        <x:v>verified_value</x:v>
      </x:c>
      <x:c r="E1" s="6" t="str">
        <x:v>verdict</x:v>
      </x:c>
      <x:c r="F1" s="6" t="str">
        <x:v>note</x:v>
      </x:c>
      <x:c r="G1" s="6" t="str">
        <x:v>source_url</x:v>
      </x:c>
    </x:row>
    <x:row r="2" ht="15" hidden="0" customHeight="1">
      <x:c r="A2" s="12" t="str">
        <x:v>United States</x:v>
      </x:c>
      <x:c r="B2" s="12" t="str">
        <x:v>ISM Manufacturing PMI</x:v>
      </x:c>
      <x:c r="C2" s="12" t="str">
        <x:v>48.7</x:v>
      </x:c>
      <x:c r="D2" s="12" t="str">
        <x:v>53.3</x:v>
      </x:c>
      <x:c r="E2" s="12" t="str">
        <x:v>Reject / Replace</x:v>
      </x:c>
      <x:c r="F2" s="12" t="str">
        <x:v>ISM official: PMI 53.3; table says contraction but actual is expansion.</x:v>
      </x:c>
      <x:c r="G2" s="12" t="str">
        <x:v>https://www.ismworld.org/globalassets/pub/research-and-surveys/rob/pmi/hotdm202606pmi.pdf</x:v>
      </x:c>
    </x:row>
    <x:row r="3" ht="15" hidden="0" customHeight="1">
      <x:c r="A3" s="12" t="str">
        <x:v>Eurozone</x:v>
      </x:c>
      <x:c r="B3" s="12" t="str">
        <x:v>S&amp;P Global Manufacturing PMI</x:v>
      </x:c>
      <x:c r="C3" s="12" t="str">
        <x:v>45.8</x:v>
      </x:c>
      <x:c r="D3" s="12" t="str">
        <x:v>51.4</x:v>
      </x:c>
      <x:c r="E3" s="12" t="str">
        <x:v>Reject / Replace</x:v>
      </x:c>
      <x:c r="F3" s="12" t="str">
        <x:v>S&amp;P Global final 51.4, fifth month expansion.</x:v>
      </x:c>
      <x:c r="G3" s="12" t="str">
        <x:v>https://www.pmi.spglobal.com/Public/Home/PressRelease/39a5ffc404db4d87b6f1da622ba9763a</x:v>
      </x:c>
    </x:row>
    <x:row r="4" ht="15" hidden="0" customHeight="1">
      <x:c r="A4" s="12" t="str">
        <x:v>Japan</x:v>
      </x:c>
      <x:c r="B4" s="12" t="str">
        <x:v>S&amp;P Global Manufacturing PMI</x:v>
      </x:c>
      <x:c r="C4" s="12" t="str">
        <x:v>50.1</x:v>
      </x:c>
      <x:c r="D4" s="12" t="str">
        <x:v>54.8</x:v>
      </x:c>
      <x:c r="E4" s="12" t="str">
        <x:v>Reject / Replace</x:v>
      </x:c>
      <x:c r="F4" s="12" t="str">
        <x:v>Final Japan PMI 54.8.</x:v>
      </x:c>
      <x:c r="G4" s="12" t="str">
        <x:v>https://www.pmi.spglobal.com/Public/Home/PressRelease/cf9e4165606042458c4a0b17af83606a</x:v>
      </x:c>
    </x:row>
    <x:row r="5" ht="15" hidden="0" customHeight="1">
      <x:c r="A5" s="12" t="str">
        <x:v>China</x:v>
      </x:c>
      <x:c r="B5" s="12" t="str">
        <x:v>NBS Manufacturing PMI</x:v>
      </x:c>
      <x:c r="C5" s="12" t="str">
        <x:v>50.8</x:v>
      </x:c>
      <x:c r="D5" s="12" t="str">
        <x:v>50.3</x:v>
      </x:c>
      <x:c r="E5" s="12" t="str">
        <x:v>Corrected</x:v>
      </x:c>
      <x:c r="F5" s="12" t="str">
        <x:v>NBS/Reuters reported 50.3.</x:v>
      </x:c>
      <x:c r="G5" s="12" t="str">
        <x:v>https://www.reuters.com/world/asia-pacific/chinas-june-factory-activity-rises-503-2026-06-30/</x:v>
      </x:c>
    </x:row>
    <x:row r="6" ht="15" hidden="0" customHeight="1">
      <x:c r="A6" s="12" t="str">
        <x:v>Taiwan</x:v>
      </x:c>
      <x:c r="B6" s="12" t="str">
        <x:v>S&amp;P Global Manufacturing PMI</x:v>
      </x:c>
      <x:c r="C6" s="12" t="str">
        <x:v>48.3</x:v>
      </x:c>
      <x:c r="D6" s="12" t="str">
        <x:v>55.2</x:v>
      </x:c>
      <x:c r="E6" s="12" t="str">
        <x:v>Reject / Replace</x:v>
      </x:c>
      <x:c r="F6" s="12" t="str">
        <x:v>Taiwan PMI 55.2; table incorrectly says contraction.</x:v>
      </x:c>
      <x:c r="G6" s="12" t="str">
        <x:v>https://www.pmi.spglobal.com/Public/Home/PressRelease/89bfc98738d24b08bead9edbe1dc51b6</x:v>
      </x:c>
    </x:row>
    <x:row r="7" ht="15" hidden="0" customHeight="1">
      <x:c r="A7" s="12" t="str">
        <x:v>South Asia / India</x:v>
      </x:c>
      <x:c r="B7" s="12" t="str">
        <x:v>India Manufacturing PMI proxy</x:v>
      </x:c>
      <x:c r="C7" s="12" t="str">
        <x:v>57.5</x:v>
      </x:c>
      <x:c r="D7" s="12" t="str">
        <x:v>54.5 preliminary from release page</x:v>
      </x:c>
      <x:c r="E7" s="12" t="str">
        <x:v>Pending Definition / Likely Replace</x:v>
      </x:c>
      <x:c r="F7" s="12" t="str">
        <x:v>Need define South Asia proxy; S&amp;P release page shows India Manufacturing Jun 54.5.</x:v>
      </x:c>
      <x:c r="G7" s="12" t="str">
        <x:v>https://www.pmi.spglobal.com/Public/Release/PressReleases</x:v>
      </x:c>
    </x:row>
    <x:row r="8" ht="15" hidden="0" customHeight="1">
      <x:c r="A8" s="12" t="str">
        <x:v>Middle East / Saudi</x:v>
      </x:c>
      <x:c r="B8" s="12" t="str">
        <x:v>Riyad Bank Saudi PMI proxy</x:v>
      </x:c>
      <x:c r="C8" s="12" t="str">
        <x:v>54.2</x:v>
      </x:c>
      <x:c r="D8" s="12" t="str">
        <x:v>May 2026 52.8; June pending</x:v>
      </x:c>
      <x:c r="E8" s="12" t="str">
        <x:v>Pending Latest Release</x:v>
      </x:c>
      <x:c r="F8" s="12" t="str">
        <x:v>If using Saudi as proxy, latest available in verified source is May 52.8.</x:v>
      </x:c>
      <x:c r="G8" s="12" t="str">
        <x:v>https://www.reuters.com/world/middle-east/saudi-non-oil-private-sector-activity-hits-three-month-high-may-pmi-shows-2026-06-03/</x:v>
      </x:c>
    </x:row>
    <x:row r="9" ht="15" hidden="0" customHeight="1">
      <x:c r="A9" s="12" t="str">
        <x:v>ASEAN / Southeast Asia</x:v>
      </x:c>
      <x:c r="B9" s="12" t="str">
        <x:v>ASEAN/Indonesia proxy</x:v>
      </x:c>
      <x:c r="C9" s="12" t="str">
        <x:v>51.2</x:v>
      </x:c>
      <x:c r="D9" s="12" t="str">
        <x:v>Undefined</x:v>
      </x:c>
      <x:c r="E9" s="12" t="str">
        <x:v>Pending Definition</x:v>
      </x:c>
      <x:c r="F9" s="12" t="str">
        <x:v>Need decide aggregate vs country proxy before validation.</x:v>
      </x:c>
      <x:c r="G9" s="12" t="str">
        <x:v>https://www.pmi.spglobal.com/Public/Release/PressReleases</x:v>
      </x:c>
    </x:row>
  </x:sheetData>
  <x:pageMargins left="0.7" right="0.7" top="0.75" bottom="0.75" header="0.3" footer="0.3"/>
  <x:tableParts count="1">
    <x:tablePart xmlns:r="http://schemas.openxmlformats.org/officeDocument/2006/relationships" r:id="Ra368cedfc24249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8" hidden="0" customWidth="1"/>
    <x:col min="4" max="4" width="18" hidden="0" customWidth="1"/>
    <x:col min="5" max="5" width="40" hidden="0" customWidth="1"/>
  </x:cols>
  <x:sheetData>
    <x:row r="1" ht="15" hidden="0" customHeight="1">
      <x:c r="A1" s="6" t="str">
        <x:v>priority</x:v>
      </x:c>
      <x:c r="B1" s="6" t="str">
        <x:v>task</x:v>
      </x:c>
      <x:c r="C1" s="6" t="str">
        <x:v>detail</x:v>
      </x:c>
      <x:c r="D1" s="6" t="str">
        <x:v>owner</x:v>
      </x:c>
      <x:c r="E1" s="6" t="str">
        <x:v>note</x:v>
      </x:c>
    </x:row>
    <x:row r="2" ht="15" hidden="0" customHeight="1">
      <x:c r="A2" s="12" t="str">
        <x:v>P0</x:v>
      </x:c>
      <x:c r="B2" s="12" t="str">
        <x:v>Exclude self-ingestion</x:v>
      </x:c>
      <x:c r="C2" s="12" t="str">
        <x:v>排除 _runs、_source_backups、standardized_*、price_breadth_*、TTFI_*</x:v>
      </x:c>
      <x:c r="D2" s="12" t="str">
        <x:v>VDF v003</x:v>
      </x:c>
      <x:c r="E2" s="12" t="str">
        <x:v>Required before next scoring</x:v>
      </x:c>
    </x:row>
    <x:row r="3" ht="15" hidden="0" customHeight="1">
      <x:c r="A3" s="12" t="str">
        <x:v>P0</x:v>
      </x:c>
      <x:c r="B3" s="12" t="str">
        <x:v>TWSE raw audit</x:v>
      </x:c>
      <x:c r="C3" s="12" t="str">
        <x:v>保存 T86 / MI_MARGN / MI_INDEX 原始回應與錯誤碼</x:v>
      </x:c>
      <x:c r="D3" s="12" t="str">
        <x:v>VDF v003</x:v>
      </x:c>
      <x:c r="E3" s="12" t="str">
        <x:v>官方資料 0 rows 必修</x:v>
      </x:c>
    </x:row>
    <x:row r="4" ht="15" hidden="0" customHeight="1">
      <x:c r="A4" s="12" t="str">
        <x:v>P0</x:v>
      </x:c>
      <x:c r="B4" s="12" t="str">
        <x:v>Local reader fallback</x:v>
      </x:c>
      <x:c r="C4" s="12" t="str">
        <x:v>修 tw_stock CSV / parquet READ_FAIL：encoding、separator、parquet engine、多表 CSV</x:v>
      </x:c>
      <x:c r="D4" s="12" t="str">
        <x:v>VDF v003</x:v>
      </x:c>
      <x:c r="E4" s="12" t="str">
        <x:v>三大法人與融資本機資料可能已存在</x:v>
      </x:c>
    </x:row>
    <x:row r="5" ht="15" hidden="0" customHeight="1">
      <x:c r="A5" s="12" t="str">
        <x:v>P0</x:v>
      </x:c>
      <x:c r="B5" s="12" t="str">
        <x:v>Official 20 trading-day window</x:v>
      </x:c>
      <x:c r="C5" s="12" t="str">
        <x:v>確保最新 20 交易日涵蓋 2026-06-23 / 2026-06-24 / 2026-06-26</x:v>
      </x:c>
      <x:c r="D5" s="12" t="str">
        <x:v>TTFI v003</x:v>
      </x:c>
      <x:c r="E5" s="12" t="str">
        <x:v>目前停在 2026-06-16</x:v>
      </x:c>
    </x:row>
    <x:row r="6" ht="15" hidden="0" customHeight="1">
      <x:c r="A6" s="12" t="str">
        <x:v>P1</x:v>
      </x:c>
      <x:c r="B6" s="12" t="str">
        <x:v>Split scores</x:v>
      </x:c>
      <x:c r="C6" s="12" t="str">
        <x:v>breadth_only_score / verified_score / data_quality_adjusted_score</x:v>
      </x:c>
      <x:c r="D6" s="12" t="str">
        <x:v>TTFI v003</x:v>
      </x:c>
      <x:c r="E6" s="12" t="str">
        <x:v>避免資料不足卻輸出單一分數</x:v>
      </x:c>
    </x:row>
    <x:row r="7" ht="15" hidden="0" customHeight="1">
      <x:c r="A7" s="12" t="str">
        <x:v>P1</x:v>
      </x:c>
      <x:c r="B7" s="12" t="str">
        <x:v>Global PMI rebuild</x:v>
      </x:c>
      <x:c r="C7" s="12" t="str">
        <x:v>保留 UI 規格，重抓 headline + subcomponents</x:v>
      </x:c>
      <x:c r="D7" s="12" t="str">
        <x:v>Global Macro v002</x:v>
      </x:c>
      <x:c r="E7" s="12" t="str">
        <x:v>目前 PMI 表不可正式使用</x:v>
      </x:c>
    </x:row>
  </x:sheetData>
  <x:pageMargins left="0.7" right="0.7" top="0.75" bottom="0.75" header="0.3" footer="0.3"/>
  <x:tableParts count="1">
    <x:tablePart xmlns:r="http://schemas.openxmlformats.org/officeDocument/2006/relationships" r:id="R7f8e64f5245942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4" hidden="0" customWidth="1"/>
    <x:col min="3" max="3" width="30" hidden="0" customWidth="1"/>
  </x:cols>
  <x:sheetData>
    <x:row r="1" ht="15" hidden="0" customHeight="1">
      <x:c r="A1" s="6" t="str">
        <x:v>source_name</x:v>
      </x:c>
      <x:c r="B1" s="6" t="str">
        <x:v>source_url</x:v>
      </x:c>
      <x:c r="C1" s="6" t="str">
        <x:v>used_for</x:v>
      </x:c>
    </x:row>
    <x:row r="2" ht="15" hidden="0" customHeight="1">
      <x:c r="A2" s="12" t="str">
        <x:v>Forbes</x:v>
      </x:c>
      <x:c r="B2" s="12" t="str">
        <x:v>https://www.forbes.com/sites/antoniopequenoiv/2026/06/23/micron-tumbles-13-as-south-korean-etf-warning-fuels-chip-sell-off/</x:v>
      </x:c>
      <x:c r="C2" s="12" t="str">
        <x:v>Micron / Memory</x:v>
      </x:c>
    </x:row>
    <x:row r="3" ht="15" hidden="0" customHeight="1">
      <x:c r="A3" s="12" t="str">
        <x:v>Micron Investor Relations</x:v>
      </x:c>
      <x:c r="B3" s="12" t="str">
        <x:v>https://investors.micron.com/news-releases/news-release-details/micron-technology-inc-reports-record-results-third-quarter</x:v>
      </x:c>
      <x:c r="C3" s="12" t="str">
        <x:v>Micron / Earnings</x:v>
      </x:c>
    </x:row>
    <x:row r="4" ht="15" hidden="0" customHeight="1">
      <x:c r="A4" s="12" t="str">
        <x:v>Price series + reported short interest</x:v>
      </x:c>
      <x:c r="B4" s="12" t="str">
        <x:v>https://finance.yahoo.com/quote/MU/</x:v>
      </x:c>
      <x:c r="C4" s="12" t="str">
        <x:v>Micron / Post-earnings</x:v>
      </x:c>
    </x:row>
    <x:row r="5" ht="15" hidden="0" customHeight="1">
      <x:c r="A5" s="12" t="str">
        <x:v>Public market reports</x:v>
      </x:c>
      <x:c r="B5" s="12" t="str">
        <x:v>https://www.twse.com.tw/</x:v>
      </x:c>
      <x:c r="C5" s="12" t="str">
        <x:v>Taiwan Equity</x:v>
      </x:c>
    </x:row>
    <x:row r="6" ht="15" hidden="0" customHeight="1">
      <x:c r="A6" s="12" t="str">
        <x:v>經濟日報 / 中央社</x:v>
      </x:c>
      <x:c r="B6" s="12" t="str">
        <x:v>https://money.udn.com/money/story/5607/9585833</x:v>
      </x:c>
      <x:c r="C6" s="12" t="str">
        <x:v>Taiwan Equity / Institutional Flow</x:v>
      </x:c>
    </x:row>
    <x:row r="7" ht="15" hidden="0" customHeight="1">
      <x:c r="A7" s="12" t="str">
        <x:v>Yahoo / TAIFEX needed</x:v>
      </x:c>
      <x:c r="B7" s="12" t="str">
        <x:v>https://www.taifex.com.tw/</x:v>
      </x:c>
      <x:c r="C7" s="12" t="str">
        <x:v>Taiwan Futures</x:v>
      </x:c>
    </x:row>
    <x:row r="8" ht="15" hidden="0" customHeight="1">
      <x:c r="A8" s="12" t="str">
        <x:v>經濟日報</x:v>
      </x:c>
      <x:c r="B8" s="12" t="str">
        <x:v>https://money.udn.com/money/story/5607/9590923</x:v>
      </x:c>
      <x:c r="C8" s="12" t="str">
        <x:v>Taiwan Equity / Crash Extension</x:v>
      </x:c>
    </x:row>
    <x:row r="9" ht="15" hidden="0" customHeight="1">
      <x:c r="A9" s="12" t="str">
        <x:v>BLS Employment Situation</x:v>
      </x:c>
      <x:c r="B9" s="12" t="str">
        <x:v>https://www.bls.gov/news.release/empsit.nr0.htm</x:v>
      </x:c>
      <x:c r="C9" s="12" t="str">
        <x:v>US Labor / BLS</x:v>
      </x:c>
    </x:row>
    <x:row r="10" ht="15" hidden="0" customHeight="1">
      <x:c r="A10" s="12" t="str">
        <x:v>BLS + Reuters</x:v>
      </x:c>
      <x:c r="B10" s="12" t="str">
        <x:v>https://www.reuters.com/world/us/us-job-growth-misses-expectations-june-unemployment-rate-falls-42-2026-07-02/</x:v>
      </x:c>
      <x:c r="C10" s="12" t="str">
        <x:v>US Labor / Household Survey</x:v>
      </x:c>
    </x:row>
    <x:row r="11" ht="15" hidden="0" customHeight="1">
      <x:c r="A11" s="12" t="str">
        <x:v>Federal Reserve</x:v>
      </x:c>
      <x:c r="B11" s="12" t="str">
        <x:v>https://www.federalreserve.gov/newsevents/pressreleases/monetary20260617a.htm</x:v>
      </x:c>
      <x:c r="C11" s="12" t="str">
        <x:v>Fed / FOMC</x:v>
      </x:c>
    </x:row>
    <x:row r="12" ht="15" hidden="0" customHeight="1">
      <x:c r="A12" s="12" t="str">
        <x:v>Reuters + Federal Reserve</x:v>
      </x:c>
      <x:c r="B12" s="12" t="str">
        <x:v>https://www.reuters.com/business/fed-seen-less-likely-raise-rates-job-growth-slows-2026-07-02/</x:v>
      </x:c>
      <x:c r="C12" s="12" t="str">
        <x:v>Fed / Market Pricing</x:v>
      </x:c>
    </x:row>
    <x:row r="13" ht="15" hidden="0" customHeight="1">
      <x:c r="A13" s="12" t="str">
        <x:v>Fed SEP + Barron's/market reports</x:v>
      </x:c>
      <x:c r="B13" s="12" t="str">
        <x:v>https://www.federalreserve.gov/monetarypolicy/files/fomcprojtabl20260617.pdf</x:v>
      </x:c>
      <x:c r="C13" s="12" t="str">
        <x:v>Fed / Dot Plot</x:v>
      </x:c>
    </x:row>
    <x:row r="14" ht="15" hidden="0" customHeight="1">
      <x:c r="A14" s="12" t="str">
        <x:v>UDN / TWSE / TPEx</x:v>
      </x:c>
      <x:c r="B14" s="12" t="str">
        <x:v>https://udn.com/news/story/7251/9581922</x:v>
      </x:c>
      <x:c r="C14" s="12" t="str">
        <x:v>Taiwan Margin / Retail</x:v>
      </x:c>
    </x:row>
    <x:row r="15" ht="15" hidden="0" customHeight="1">
      <x:c r="A15" s="12" t="str">
        <x:v>Vocus / WantGoo</x:v>
      </x:c>
      <x:c r="B15" s="12" t="str">
        <x:v>https://vocus.cc/article/6a362c3cfd89780001ae7e3f</x:v>
      </x:c>
      <x:c r="C15" s="12" t="str">
        <x:v>Taiwan Momentum / Top Winners</x:v>
      </x:c>
    </x:row>
    <x:row r="16" ht="15" hidden="0" customHeight="1">
      <x:c r="A16" s="12" t="str">
        <x:v>BLS Response Rates</x:v>
      </x:c>
      <x:c r="B16" s="12" t="str">
        <x:v>https://www.bls.gov/osmr/response-rates/</x:v>
      </x:c>
      <x:c r="C16" s="12" t="str">
        <x:v>US Labor / Response Rates</x:v>
      </x:c>
    </x:row>
    <x:row r="17" ht="15" hidden="0" customHeight="1">
      <x:c r="A17" s="12" t="str">
        <x:v>ISM / S&amp;P Global / Reuters / NBS</x:v>
      </x:c>
      <x:c r="B17" s="12" t="str">
        <x:v>https://www.pmi.spglobal.com/Public/Release/PressReleases</x:v>
      </x:c>
      <x:c r="C17" s="12" t="str">
        <x:v>Global Macro / PMI Dashboard</x:v>
      </x:c>
    </x:row>
    <x:row r="18" ht="15" hidden="0" customHeight="1">
      <x:c r="A18" s="12" t="str">
        <x:v>ISM Manufacturing PMI</x:v>
      </x:c>
      <x:c r="B18" s="12" t="str">
        <x:v>https://www.ismworld.org/globalassets/pub/research-and-surveys/rob/pmi/hotdm202606pmi.pdf</x:v>
      </x:c>
      <x:c r="C18" s="12" t="str">
        <x:v>Global Macro / US PMI</x:v>
      </x:c>
    </x:row>
    <x:row r="19" ht="15" hidden="0" customHeight="1">
      <x:c r="A19" s="12" t="str">
        <x:v>S&amp;P Global Eurozone PMI</x:v>
      </x:c>
      <x:c r="B19" s="12" t="str">
        <x:v>https://www.pmi.spglobal.com/Public/Home/PressRelease/39a5ffc404db4d87b6f1da622ba9763a</x:v>
      </x:c>
      <x:c r="C19" s="12" t="str">
        <x:v>Global Macro / Eurozone PMI</x:v>
      </x:c>
    </x:row>
    <x:row r="20" ht="15" hidden="0" customHeight="1">
      <x:c r="A20" s="12" t="str">
        <x:v>NBS via Reuters</x:v>
      </x:c>
      <x:c r="B20" s="12" t="str">
        <x:v>https://www.reuters.com/world/asia-pacific/chinas-june-factory-activity-rises-503-2026-06-30/</x:v>
      </x:c>
      <x:c r="C20" s="12" t="str">
        <x:v>Global Macro / China PMI</x:v>
      </x:c>
    </x:row>
    <x:row r="21" ht="15" hidden="0" customHeight="1">
      <x:c r="A21" s="12" t="str">
        <x:v>S&amp;P Global Taiwan PMI</x:v>
      </x:c>
      <x:c r="B21" s="12" t="str">
        <x:v>https://www.pmi.spglobal.com/Public/Home/PressRelease/89bfc98738d24b08bead9edbe1dc51b6</x:v>
      </x:c>
      <x:c r="C21" s="12" t="str">
        <x:v>Global Macro / Taiwan PMI</x:v>
      </x:c>
    </x:row>
    <x:row r="22" ht="15" hidden="0" customHeight="1">
      <x:c r="A22" s="12" t="str">
        <x:v>S&amp;P Global Japan PMI</x:v>
      </x:c>
      <x:c r="B22" s="12" t="str">
        <x:v>https://www.pmi.spglobal.com/Public/Home/PressRelease/cf9e4165606042458c4a0b17af83606a</x:v>
      </x:c>
      <x:c r="C22" s="12" t="str">
        <x:v>Global Macro / Japan PMI</x:v>
      </x:c>
    </x:row>
    <x:row r="23" ht="15" hidden="0" customHeight="1">
      <x:c r="A23" s="12" t="str">
        <x:v>S&amp;P Global PMI Releases</x:v>
      </x:c>
      <x:c r="B23" s="12" t="str">
        <x:v>https://www.pmi.spglobal.com/Public/Release/PressReleases</x:v>
      </x:c>
      <x:c r="C23" s="12" t="str">
        <x:v>Global Macro / South Asia PMI</x:v>
      </x:c>
    </x:row>
    <x:row r="24" ht="15" hidden="0" customHeight="1">
      <x:c r="A24" s="12" t="str">
        <x:v>Riyad Bank Saudi Arabia PMI</x:v>
      </x:c>
      <x:c r="B24" s="12" t="str">
        <x:v>https://www.reuters.com/world/middle-east/saudi-non-oil-private-sector-activity-hits-three-month-high-may-pmi-shows-2026-06-03/</x:v>
      </x:c>
      <x:c r="C24" s="12" t="str">
        <x:v>Global Macro / Middle East PMI</x:v>
      </x:c>
    </x:row>
  </x:sheetData>
  <x:pageMargins left="0.7" right="0.7" top="0.75" bottom="0.75" header="0.3" footer="0.3"/>
  <x:tableParts count="1">
    <x:tablePart xmlns:r="http://schemas.openxmlformats.org/officeDocument/2006/relationships" r:id="Rf998961302fe4b23"/>
  </x:tableParts>
</x:worksheet>
</file>